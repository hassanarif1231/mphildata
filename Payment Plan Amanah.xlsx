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ssanArif\Downloads\"/>
    </mc:Choice>
  </mc:AlternateContent>
  <xr:revisionPtr revIDLastSave="0" documentId="13_ncr:1_{6B577DB1-A884-407F-8093-B258317E0AE3}" xr6:coauthVersionLast="47" xr6:coauthVersionMax="47" xr10:uidLastSave="{00000000-0000-0000-0000-000000000000}"/>
  <bookViews>
    <workbookView xWindow="-120" yWindow="-120" windowWidth="29040" windowHeight="15720" xr2:uid="{0F1A29C7-BB46-4745-9968-B78CDF4687F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T19" i="1"/>
  <c r="K3" i="1"/>
  <c r="Q19" i="1" s="1"/>
  <c r="Q21" i="1" s="1"/>
  <c r="J6" i="1"/>
  <c r="L6" i="1" s="1"/>
  <c r="J7" i="1" s="1"/>
  <c r="L7" i="1" s="1"/>
  <c r="J8" i="1" s="1"/>
  <c r="L8" i="1" s="1"/>
  <c r="J9" i="1" s="1"/>
  <c r="L9" i="1" s="1"/>
  <c r="J10" i="1" s="1"/>
  <c r="L10" i="1" s="1"/>
  <c r="L5" i="1"/>
  <c r="H12" i="2"/>
  <c r="I23" i="1"/>
  <c r="H14" i="2"/>
  <c r="I17" i="1"/>
  <c r="I11" i="1"/>
  <c r="J11" i="1" l="1"/>
  <c r="L11" i="1" s="1"/>
  <c r="J12" i="1" s="1"/>
  <c r="L12" i="1" s="1"/>
  <c r="J13" i="1" s="1"/>
  <c r="L13" i="1" s="1"/>
  <c r="J14" i="1" s="1"/>
  <c r="L14" i="1" s="1"/>
  <c r="J15" i="1" s="1"/>
  <c r="L15" i="1" s="1"/>
  <c r="J16" i="1" s="1"/>
  <c r="L16" i="1" s="1"/>
  <c r="J17" i="1" s="1"/>
  <c r="L17" i="1" s="1"/>
  <c r="J18" i="1" s="1"/>
  <c r="L18" i="1" s="1"/>
  <c r="J19" i="1" s="1"/>
  <c r="L19" i="1" s="1"/>
  <c r="J20" i="1" s="1"/>
  <c r="L20" i="1" s="1"/>
  <c r="J21" i="1" s="1"/>
  <c r="L21" i="1" s="1"/>
  <c r="J22" i="1" s="1"/>
  <c r="L22" i="1" s="1"/>
  <c r="J23" i="1" s="1"/>
  <c r="L23" i="1" s="1"/>
  <c r="J24" i="1" s="1"/>
  <c r="L24" i="1" s="1"/>
</calcChain>
</file>

<file path=xl/sharedStrings.xml><?xml version="1.0" encoding="utf-8"?>
<sst xmlns="http://schemas.openxmlformats.org/spreadsheetml/2006/main" count="20" uniqueCount="20">
  <si>
    <t>TOTAL OS</t>
  </si>
  <si>
    <t>CURR OS</t>
  </si>
  <si>
    <t>PAID</t>
  </si>
  <si>
    <t>BAL</t>
  </si>
  <si>
    <t>June</t>
  </si>
  <si>
    <t xml:space="preserve">April </t>
  </si>
  <si>
    <t xml:space="preserve">March </t>
  </si>
  <si>
    <t xml:space="preserve">Feb </t>
  </si>
  <si>
    <t>May</t>
  </si>
  <si>
    <t>July</t>
  </si>
  <si>
    <t>Aug</t>
  </si>
  <si>
    <t>Paid</t>
  </si>
  <si>
    <t>Pending</t>
  </si>
  <si>
    <t>FALAH TOWER PAYMENT PLAN</t>
  </si>
  <si>
    <t>AMANAH TOWER PAYMENT PLAN</t>
  </si>
  <si>
    <t>TOTAL PAID</t>
  </si>
  <si>
    <t xml:space="preserve">Due </t>
  </si>
  <si>
    <t xml:space="preserve">Paid </t>
  </si>
  <si>
    <t>Balance</t>
  </si>
  <si>
    <t>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</si>
</sst>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43" fontId="0" fillId="0" borderId="0" xfId="1" applyFont="1"/>
    <xf numFmtId="43" fontId="0" fillId="0" borderId="0" xfId="0" applyNumberFormat="1"/>
    <xf numFmtId="0" fontId="0" fillId="2" borderId="0" xfId="0" applyFill="1"/>
    <xf numFmtId="43" fontId="2" fillId="3" borderId="0" xfId="1" applyFont="1" applyFill="1"/>
    <xf numFmtId="43" fontId="2" fillId="3" borderId="0" xfId="0" applyNumberFormat="1" applyFont="1" applyFill="1"/>
    <xf numFmtId="17" fontId="0" fillId="0" borderId="0" xfId="0" applyNumberFormat="1"/>
    <xf numFmtId="17" fontId="0" fillId="4" borderId="0" xfId="0" applyNumberFormat="1" applyFill="1"/>
    <xf numFmtId="43" fontId="0" fillId="4" borderId="0" xfId="1" applyFont="1" applyFill="1"/>
    <xf numFmtId="43" fontId="0" fillId="4" borderId="0" xfId="0" applyNumberFormat="1" applyFill="1"/>
    <xf numFmtId="0" fontId="2" fillId="5" borderId="0" xfId="0" applyFont="1" applyFill="1"/>
    <xf numFmtId="0" fontId="2" fillId="6" borderId="0" xfId="0" applyFont="1" applyFill="1"/>
    <xf numFmtId="43" fontId="2" fillId="5" borderId="0" xfId="0" applyNumberFormat="1" applyFont="1" applyFill="1"/>
    <xf numFmtId="43" fontId="2" fillId="6" borderId="0" xfId="0" applyNumberFormat="1" applyFont="1" applyFill="1"/>
    <xf numFmtId="0" fontId="2" fillId="0" borderId="0" xfId="0" applyFont="1"/>
    <xf numFmtId="43" fontId="2" fillId="0" borderId="0" xfId="0" applyNumberFormat="1" applyFont="1"/>
    <xf numFmtId="17" fontId="0" fillId="5" borderId="0" xfId="0" applyNumberFormat="1" applyFill="1"/>
    <xf numFmtId="43" fontId="0" fillId="5" borderId="0" xfId="1" applyFont="1" applyFill="1"/>
    <xf numFmtId="43" fontId="0" fillId="5" borderId="0" xfId="0" applyNumberFormat="1" applyFill="1"/>
    <xf numFmtId="0" fontId="3" fillId="6" borderId="0" xfId="0" applyFont="1" applyFill="1" applyAlignment="1">
      <alignment horizontal="center"/>
    </xf>
    <xf numFmtId="0" fontId="2" fillId="5" borderId="1" xfId="0" applyFont="1" applyFill="1" applyBorder="1"/>
    <xf numFmtId="43" fontId="4" fillId="0" borderId="1" xfId="1" applyFont="1" applyBorder="1"/>
    <xf numFmtId="0" fontId="2" fillId="2" borderId="1" xfId="0" applyFont="1" applyFill="1" applyBorder="1"/>
    <xf numFmtId="0" fontId="2" fillId="3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8C74A-23DB-419B-9AD0-5A61AFE58F12}">
  <dimension ref="H2:T24"/>
  <sheetViews>
    <sheetView tabSelected="1" workbookViewId="0">
      <selection activeCell="K23" sqref="K23"/>
    </sheetView>
  </sheetViews>
  <sheetFormatPr defaultRowHeight="15" x14ac:dyDescent="0.25"/>
  <cols>
    <col min="8" max="8" width="7.28515625" bestFit="1" customWidth="1"/>
    <col min="9" max="9" width="11.5703125" bestFit="1" customWidth="1"/>
    <col min="10" max="10" width="13.28515625" bestFit="1" customWidth="1"/>
    <col min="11" max="11" width="16.7109375" customWidth="1"/>
    <col min="12" max="12" width="14.140625" bestFit="1" customWidth="1"/>
    <col min="13" max="13" width="13.28515625" bestFit="1" customWidth="1"/>
    <col min="14" max="16" width="11.5703125" bestFit="1" customWidth="1"/>
    <col min="17" max="17" width="14.28515625" bestFit="1" customWidth="1"/>
    <col min="18" max="20" width="13.28515625" bestFit="1" customWidth="1"/>
  </cols>
  <sheetData>
    <row r="2" spans="8:17" ht="18.75" x14ac:dyDescent="0.3">
      <c r="I2" s="19" t="s">
        <v>14</v>
      </c>
      <c r="J2" s="19"/>
      <c r="K2" s="19"/>
    </row>
    <row r="3" spans="8:17" x14ac:dyDescent="0.25">
      <c r="J3" s="14" t="s">
        <v>15</v>
      </c>
      <c r="K3" s="2">
        <f>SUM(K5:K12) + M3</f>
        <v>1587230</v>
      </c>
      <c r="L3" s="14" t="s">
        <v>19</v>
      </c>
      <c r="M3" s="1">
        <v>1072260</v>
      </c>
    </row>
    <row r="4" spans="8:17" x14ac:dyDescent="0.25">
      <c r="I4" s="3" t="s">
        <v>0</v>
      </c>
      <c r="J4" s="3" t="s">
        <v>1</v>
      </c>
      <c r="K4" s="3" t="s">
        <v>2</v>
      </c>
      <c r="L4" s="3" t="s">
        <v>3</v>
      </c>
    </row>
    <row r="5" spans="8:17" x14ac:dyDescent="0.25">
      <c r="H5" s="7">
        <v>45992</v>
      </c>
      <c r="I5" s="8">
        <v>59570</v>
      </c>
      <c r="J5" s="8">
        <v>59570</v>
      </c>
      <c r="K5" s="9">
        <v>65000</v>
      </c>
      <c r="L5" s="9">
        <f t="shared" ref="L5:L7" si="0">K5-J5</f>
        <v>5430</v>
      </c>
    </row>
    <row r="6" spans="8:17" x14ac:dyDescent="0.25">
      <c r="H6" s="7">
        <v>46023</v>
      </c>
      <c r="I6" s="8">
        <v>59570</v>
      </c>
      <c r="J6" s="8">
        <f>I6-L5</f>
        <v>54140</v>
      </c>
      <c r="K6" s="9">
        <v>70000</v>
      </c>
      <c r="L6" s="9">
        <f t="shared" si="0"/>
        <v>15860</v>
      </c>
    </row>
    <row r="7" spans="8:17" x14ac:dyDescent="0.25">
      <c r="H7" s="7">
        <v>46054</v>
      </c>
      <c r="I7" s="8">
        <v>59570</v>
      </c>
      <c r="J7" s="8">
        <f>I7-L6</f>
        <v>43710</v>
      </c>
      <c r="K7" s="9">
        <v>55000</v>
      </c>
      <c r="L7" s="9">
        <f t="shared" si="0"/>
        <v>11290</v>
      </c>
    </row>
    <row r="8" spans="8:17" x14ac:dyDescent="0.25">
      <c r="H8" s="7">
        <v>46082</v>
      </c>
      <c r="I8" s="8">
        <v>59570</v>
      </c>
      <c r="J8" s="8">
        <f>I8-L7</f>
        <v>48280</v>
      </c>
      <c r="K8" s="9">
        <v>75000</v>
      </c>
      <c r="L8" s="9">
        <f t="shared" ref="L8:L24" si="1">K8-J8</f>
        <v>26720</v>
      </c>
    </row>
    <row r="9" spans="8:17" x14ac:dyDescent="0.25">
      <c r="H9" s="7">
        <v>46113</v>
      </c>
      <c r="I9" s="8">
        <v>59570</v>
      </c>
      <c r="J9" s="8">
        <f t="shared" ref="J9:J24" si="2">I9-L8</f>
        <v>32850</v>
      </c>
      <c r="K9" s="8">
        <v>82000</v>
      </c>
      <c r="L9" s="9">
        <f t="shared" si="1"/>
        <v>49150</v>
      </c>
      <c r="Q9" s="1"/>
    </row>
    <row r="10" spans="8:17" x14ac:dyDescent="0.25">
      <c r="H10" s="16">
        <v>46143</v>
      </c>
      <c r="I10" s="17">
        <v>59570</v>
      </c>
      <c r="J10" s="17">
        <f t="shared" si="2"/>
        <v>10420</v>
      </c>
      <c r="K10" s="17">
        <v>25000</v>
      </c>
      <c r="L10" s="18">
        <f t="shared" si="1"/>
        <v>14580</v>
      </c>
      <c r="Q10" s="1"/>
    </row>
    <row r="11" spans="8:17" x14ac:dyDescent="0.25">
      <c r="H11" s="16">
        <v>46174</v>
      </c>
      <c r="I11" s="4">
        <f>142968+I10</f>
        <v>202538</v>
      </c>
      <c r="J11" s="18">
        <f t="shared" si="2"/>
        <v>187958</v>
      </c>
      <c r="K11" s="17">
        <v>60000</v>
      </c>
      <c r="L11" s="18">
        <f t="shared" si="1"/>
        <v>-127958</v>
      </c>
      <c r="P11" s="1"/>
      <c r="Q11" s="1"/>
    </row>
    <row r="12" spans="8:17" x14ac:dyDescent="0.25">
      <c r="H12" s="16">
        <v>46204</v>
      </c>
      <c r="I12" s="17">
        <v>59570</v>
      </c>
      <c r="J12" s="18">
        <f t="shared" si="2"/>
        <v>187528</v>
      </c>
      <c r="K12" s="17">
        <v>82970</v>
      </c>
      <c r="L12" s="18">
        <f t="shared" si="1"/>
        <v>-104558</v>
      </c>
      <c r="M12" s="2">
        <f>L12-T19</f>
        <v>-107468</v>
      </c>
      <c r="N12" s="1"/>
      <c r="O12" s="2"/>
      <c r="P12" s="1"/>
      <c r="Q12" s="1"/>
    </row>
    <row r="13" spans="8:17" x14ac:dyDescent="0.25">
      <c r="H13" s="6">
        <v>46235</v>
      </c>
      <c r="I13" s="1">
        <v>59570</v>
      </c>
      <c r="J13" s="2">
        <f t="shared" si="2"/>
        <v>164128</v>
      </c>
      <c r="K13" s="1">
        <v>0</v>
      </c>
      <c r="L13" s="2">
        <f t="shared" si="1"/>
        <v>-164128</v>
      </c>
      <c r="P13" s="1"/>
      <c r="Q13" s="1"/>
    </row>
    <row r="14" spans="8:17" x14ac:dyDescent="0.25">
      <c r="H14" s="6">
        <v>46266</v>
      </c>
      <c r="I14" s="1">
        <v>59570</v>
      </c>
      <c r="J14" s="2">
        <f t="shared" si="2"/>
        <v>223698</v>
      </c>
      <c r="K14" s="1">
        <v>0</v>
      </c>
      <c r="L14" s="2">
        <f t="shared" si="1"/>
        <v>-223698</v>
      </c>
      <c r="P14" s="2"/>
      <c r="Q14" s="2"/>
    </row>
    <row r="15" spans="8:17" x14ac:dyDescent="0.25">
      <c r="H15" s="6">
        <v>46296</v>
      </c>
      <c r="I15" s="1">
        <v>59570</v>
      </c>
      <c r="J15" s="2">
        <f t="shared" si="2"/>
        <v>283268</v>
      </c>
      <c r="K15" s="1">
        <v>0</v>
      </c>
      <c r="L15" s="2">
        <f t="shared" si="1"/>
        <v>-283268</v>
      </c>
      <c r="O15" s="2"/>
      <c r="Q15" s="2"/>
    </row>
    <row r="16" spans="8:17" x14ac:dyDescent="0.25">
      <c r="H16" s="6">
        <v>46327</v>
      </c>
      <c r="I16" s="1">
        <v>59570</v>
      </c>
      <c r="J16" s="2">
        <f t="shared" si="2"/>
        <v>342838</v>
      </c>
      <c r="K16" s="1">
        <v>0</v>
      </c>
      <c r="L16" s="2">
        <f t="shared" si="1"/>
        <v>-342838</v>
      </c>
    </row>
    <row r="17" spans="8:20" x14ac:dyDescent="0.25">
      <c r="H17" s="6">
        <v>46357</v>
      </c>
      <c r="I17" s="5">
        <f>142968+I16</f>
        <v>202538</v>
      </c>
      <c r="J17" s="2">
        <f t="shared" si="2"/>
        <v>545376</v>
      </c>
      <c r="K17" s="1">
        <v>0</v>
      </c>
      <c r="L17" s="2">
        <f t="shared" si="1"/>
        <v>-545376</v>
      </c>
      <c r="T17" s="1"/>
    </row>
    <row r="18" spans="8:20" x14ac:dyDescent="0.25">
      <c r="H18" s="6">
        <v>46388</v>
      </c>
      <c r="I18" s="1">
        <v>59570</v>
      </c>
      <c r="J18" s="2">
        <f t="shared" si="2"/>
        <v>604946</v>
      </c>
      <c r="K18" s="1">
        <v>0</v>
      </c>
      <c r="L18" s="2">
        <f t="shared" si="1"/>
        <v>-604946</v>
      </c>
      <c r="T18" s="2"/>
    </row>
    <row r="19" spans="8:20" x14ac:dyDescent="0.25">
      <c r="H19" s="6">
        <v>46419</v>
      </c>
      <c r="I19" s="1">
        <v>59570</v>
      </c>
      <c r="J19" s="2">
        <f t="shared" si="2"/>
        <v>664516</v>
      </c>
      <c r="K19" s="1">
        <v>0</v>
      </c>
      <c r="L19" s="2">
        <f t="shared" si="1"/>
        <v>-664516</v>
      </c>
      <c r="P19" s="20" t="s">
        <v>17</v>
      </c>
      <c r="Q19" s="21">
        <f>K3</f>
        <v>1587230</v>
      </c>
      <c r="R19" s="2"/>
      <c r="S19" s="1">
        <v>1584320</v>
      </c>
      <c r="T19" s="2">
        <f>Q19-S19</f>
        <v>2910</v>
      </c>
    </row>
    <row r="20" spans="8:20" x14ac:dyDescent="0.25">
      <c r="H20" s="6">
        <v>46447</v>
      </c>
      <c r="I20" s="1">
        <v>59570</v>
      </c>
      <c r="J20" s="2">
        <f t="shared" si="2"/>
        <v>724086</v>
      </c>
      <c r="K20" s="1">
        <v>0</v>
      </c>
      <c r="L20" s="2">
        <f t="shared" si="1"/>
        <v>-724086</v>
      </c>
      <c r="P20" s="22" t="s">
        <v>16</v>
      </c>
      <c r="Q20" s="21">
        <v>7148400</v>
      </c>
    </row>
    <row r="21" spans="8:20" x14ac:dyDescent="0.25">
      <c r="H21" s="6">
        <v>46478</v>
      </c>
      <c r="I21" s="1">
        <v>59570</v>
      </c>
      <c r="J21" s="2">
        <f t="shared" si="2"/>
        <v>783656</v>
      </c>
      <c r="K21" s="1">
        <v>0</v>
      </c>
      <c r="L21" s="2">
        <f t="shared" si="1"/>
        <v>-783656</v>
      </c>
      <c r="P21" s="23" t="s">
        <v>18</v>
      </c>
      <c r="Q21" s="21">
        <f>Q20-Q19</f>
        <v>5561170</v>
      </c>
      <c r="R21" s="2"/>
      <c r="S21" s="1"/>
    </row>
    <row r="22" spans="8:20" x14ac:dyDescent="0.25">
      <c r="H22" s="6">
        <v>46508</v>
      </c>
      <c r="I22" s="1">
        <v>59570</v>
      </c>
      <c r="J22" s="2">
        <f t="shared" si="2"/>
        <v>843226</v>
      </c>
      <c r="K22" s="1">
        <v>0</v>
      </c>
      <c r="L22" s="2">
        <f t="shared" si="1"/>
        <v>-843226</v>
      </c>
    </row>
    <row r="23" spans="8:20" x14ac:dyDescent="0.25">
      <c r="H23" s="6">
        <v>46539</v>
      </c>
      <c r="I23" s="5">
        <f>142968+I22</f>
        <v>202538</v>
      </c>
      <c r="J23" s="2">
        <f t="shared" si="2"/>
        <v>1045764</v>
      </c>
      <c r="K23" s="1">
        <v>0</v>
      </c>
      <c r="L23" s="2">
        <f t="shared" si="1"/>
        <v>-1045764</v>
      </c>
    </row>
    <row r="24" spans="8:20" x14ac:dyDescent="0.25">
      <c r="H24" s="6">
        <v>46569</v>
      </c>
      <c r="I24" s="1">
        <v>59570</v>
      </c>
      <c r="J24" s="2">
        <f t="shared" si="2"/>
        <v>1105334</v>
      </c>
      <c r="K24" s="1">
        <v>0</v>
      </c>
      <c r="L24" s="2">
        <f t="shared" si="1"/>
        <v>-1105334</v>
      </c>
    </row>
  </sheetData>
  <mergeCells count="1">
    <mergeCell ref="I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5C94E-09EE-44EA-B261-A884857208DE}">
  <dimension ref="F3:H16"/>
  <sheetViews>
    <sheetView workbookViewId="0">
      <selection activeCell="H30" sqref="H30"/>
    </sheetView>
  </sheetViews>
  <sheetFormatPr defaultRowHeight="15" x14ac:dyDescent="0.25"/>
  <cols>
    <col min="8" max="8" width="17.140625" customWidth="1"/>
  </cols>
  <sheetData>
    <row r="3" spans="6:8" ht="18.75" x14ac:dyDescent="0.3">
      <c r="F3" s="19" t="s">
        <v>13</v>
      </c>
      <c r="G3" s="19"/>
      <c r="H3" s="19"/>
    </row>
    <row r="6" spans="6:8" x14ac:dyDescent="0.25">
      <c r="G6" t="s">
        <v>7</v>
      </c>
      <c r="H6" s="1">
        <v>100000</v>
      </c>
    </row>
    <row r="7" spans="6:8" x14ac:dyDescent="0.25">
      <c r="G7" t="s">
        <v>6</v>
      </c>
      <c r="H7" s="1">
        <v>50000</v>
      </c>
    </row>
    <row r="8" spans="6:8" x14ac:dyDescent="0.25">
      <c r="G8" t="s">
        <v>5</v>
      </c>
      <c r="H8" s="1">
        <v>100000</v>
      </c>
    </row>
    <row r="9" spans="6:8" x14ac:dyDescent="0.25">
      <c r="G9" t="s">
        <v>8</v>
      </c>
      <c r="H9" s="1">
        <v>60000</v>
      </c>
    </row>
    <row r="10" spans="6:8" x14ac:dyDescent="0.25">
      <c r="G10" t="s">
        <v>4</v>
      </c>
      <c r="H10" s="1">
        <v>60000</v>
      </c>
    </row>
    <row r="11" spans="6:8" x14ac:dyDescent="0.25">
      <c r="G11" t="s">
        <v>9</v>
      </c>
      <c r="H11" s="1">
        <v>60000</v>
      </c>
    </row>
    <row r="12" spans="6:8" x14ac:dyDescent="0.25">
      <c r="G12" s="10" t="s">
        <v>11</v>
      </c>
      <c r="H12" s="12">
        <f>SUM(H6:H11)</f>
        <v>430000</v>
      </c>
    </row>
    <row r="13" spans="6:8" x14ac:dyDescent="0.25">
      <c r="G13" t="s">
        <v>10</v>
      </c>
      <c r="H13" s="1">
        <v>70000</v>
      </c>
    </row>
    <row r="14" spans="6:8" x14ac:dyDescent="0.25">
      <c r="G14" s="11" t="s">
        <v>12</v>
      </c>
      <c r="H14" s="13">
        <f>SUM(H11:H13)</f>
        <v>560000</v>
      </c>
    </row>
    <row r="16" spans="6:8" x14ac:dyDescent="0.25">
      <c r="G16" s="14"/>
      <c r="H16" s="15"/>
    </row>
  </sheetData>
  <mergeCells count="1">
    <mergeCell ref="F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Arif</dc:creator>
  <cp:lastModifiedBy>Hassan Arif</cp:lastModifiedBy>
  <dcterms:created xsi:type="dcterms:W3CDTF">2026-04-10T05:48:12Z</dcterms:created>
  <dcterms:modified xsi:type="dcterms:W3CDTF">2026-07-16T09:33:29Z</dcterms:modified>
</cp:coreProperties>
</file>